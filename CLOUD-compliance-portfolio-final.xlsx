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5960" activeTab="4"/>
  </bookViews>
  <sheets>
    <sheet name="Risk Register" sheetId="1" r:id="rId1"/>
    <sheet name="Risk Scoring" sheetId="2" r:id="rId2"/>
    <sheet name="Dashboard" sheetId="3" r:id="rId3"/>
    <sheet name="Project Overview" sheetId="4" r:id="rId4"/>
    <sheet name="Evidence Trac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<sst xmlns="http://schemas.openxmlformats.org/spreadsheetml/2006/main" count="259" uniqueCount="163">
  <si>
    <t>Risk ID</t>
  </si>
  <si>
    <t>Cloud Asset</t>
  </si>
  <si>
    <t>Risk Description</t>
  </si>
  <si>
    <t>Likelihood Score</t>
  </si>
  <si>
    <t>Impact Score</t>
  </si>
  <si>
    <t>Risk Level</t>
  </si>
  <si>
    <t>Mitigation</t>
  </si>
  <si>
    <t>Risk Owner</t>
  </si>
  <si>
    <t>Status</t>
  </si>
  <si>
    <t>Evidence</t>
  </si>
  <si>
    <t>Control Reference</t>
  </si>
  <si>
    <t>Target Date</t>
  </si>
  <si>
    <t>Residual Risk</t>
  </si>
  <si>
    <t>R-001</t>
  </si>
  <si>
    <t>Cloud Storage</t>
  </si>
  <si>
    <t>Storage is publicly accessible</t>
  </si>
  <si>
    <t>Disable public access and review permissions</t>
  </si>
  <si>
    <t>Cloud Administrator</t>
  </si>
  <si>
    <t>Open</t>
  </si>
  <si>
    <t>Access setting screenshot</t>
  </si>
  <si>
    <t>NIST CSF 2.0 - PR.DS</t>
  </si>
  <si>
    <t>Medium</t>
  </si>
  <si>
    <t>R-002</t>
  </si>
  <si>
    <t>Cloud Identity</t>
  </si>
  <si>
    <t>Administrator accounts do not use MFA</t>
  </si>
  <si>
    <t>Enable MFA for all administrator accounts</t>
  </si>
  <si>
    <t>Identity Administrator</t>
  </si>
  <si>
    <t>MFA status report</t>
  </si>
  <si>
    <t>NIST CSF 2.0 - PR.AA</t>
  </si>
  <si>
    <t>R-003</t>
  </si>
  <si>
    <t>Cloud Database</t>
  </si>
  <si>
    <t>Sensitive data is not encrypted at rest</t>
  </si>
  <si>
    <t>Enable encryption at rest and manage encryption keys</t>
  </si>
  <si>
    <t>Database Administrator</t>
  </si>
  <si>
    <t>Encryption settings screenshot</t>
  </si>
  <si>
    <t>Low</t>
  </si>
  <si>
    <t>R-004</t>
  </si>
  <si>
    <t>Cloud Backup</t>
  </si>
  <si>
    <t>Cloud backups are not regularly tested</t>
  </si>
  <si>
    <t>Schedule backups and test data restoration</t>
  </si>
  <si>
    <t>IT Operations Manager</t>
  </si>
  <si>
    <t>Backup and restore test report</t>
  </si>
  <si>
    <t>NIST CSF 2.0 - RC.RP</t>
  </si>
  <si>
    <t>R-005</t>
  </si>
  <si>
    <t>Cloud IAM</t>
  </si>
  <si>
    <t>Users have excessive access permissions</t>
  </si>
  <si>
    <t>Apply least privilege and review user roles</t>
  </si>
  <si>
    <t>User access review report</t>
  </si>
  <si>
    <t>R-006</t>
  </si>
  <si>
    <t>Cloud Monitoring</t>
  </si>
  <si>
    <t>Security logging and monitoring are disabled</t>
  </si>
  <si>
    <t>Enable security logs and continuous monitoring</t>
  </si>
  <si>
    <t>Security Operations Manager</t>
  </si>
  <si>
    <t>Logging configuration screenshot</t>
  </si>
  <si>
    <t>NIST CSF 2.0 - DE.CM</t>
  </si>
  <si>
    <t>R-007</t>
  </si>
  <si>
    <t>Cloud Virtual Machines</t>
  </si>
  <si>
    <t>Virtual machines are not regularly patched</t>
  </si>
  <si>
    <t>Implement a monthly patch management process</t>
  </si>
  <si>
    <t>Patch compliance report</t>
  </si>
  <si>
    <t>NIST CSF 2.0 - PR.PS</t>
  </si>
  <si>
    <t>R-008</t>
  </si>
  <si>
    <t>Cloud Data</t>
  </si>
  <si>
    <t>Sensitive data is not classified</t>
  </si>
  <si>
    <t>Classify data and apply sensitivity labels</t>
  </si>
  <si>
    <t>Data Protection Officer</t>
  </si>
  <si>
    <t>Data classification report</t>
  </si>
  <si>
    <t>R-009</t>
  </si>
  <si>
    <t>Cloud Records</t>
  </si>
  <si>
    <t>Data retention policies are not defined</t>
  </si>
  <si>
    <t>Define and implement data retention policies</t>
  </si>
  <si>
    <t>Compliance Manager</t>
  </si>
  <si>
    <t>Approved retention policy</t>
  </si>
  <si>
    <t>NIST CSF 2.0 - GV.PO</t>
  </si>
  <si>
    <t>R-010</t>
  </si>
  <si>
    <t>Inactive user accounts remain enabled</t>
  </si>
  <si>
    <t>Disable inactive accounts and perform quarterly reviews</t>
  </si>
  <si>
    <t>Inactive accounts report</t>
  </si>
  <si>
    <t>R-011</t>
  </si>
  <si>
    <t>Cloud Incident Response</t>
  </si>
  <si>
    <t>No cloud incident response plan exists</t>
  </si>
  <si>
    <t>Create and test a cloud incident response plan</t>
  </si>
  <si>
    <t>Security Manager</t>
  </si>
  <si>
    <t>Incident response test report</t>
  </si>
  <si>
    <t>NIST CSF 2.0 - RS.MA</t>
  </si>
  <si>
    <t>R-012</t>
  </si>
  <si>
    <t>Third-Party Access</t>
  </si>
  <si>
    <t>Third-party access is not regularly reviewed</t>
  </si>
  <si>
    <t>Review third-party access and remove unnecessary permissions</t>
  </si>
  <si>
    <t>Vendor Risk Manager</t>
  </si>
  <si>
    <t>Third-party access review report</t>
  </si>
  <si>
    <t>NIST CSF 2.0 - GV.SC</t>
  </si>
  <si>
    <t>Likelihood Level</t>
  </si>
  <si>
    <t>Impact Level</t>
  </si>
  <si>
    <t>Minimum Score</t>
  </si>
  <si>
    <t>Risk Rating</t>
  </si>
  <si>
    <t>Rare</t>
  </si>
  <si>
    <t>Insignificant</t>
  </si>
  <si>
    <t>Unlikely</t>
  </si>
  <si>
    <t>Minor</t>
  </si>
  <si>
    <t>Possible</t>
  </si>
  <si>
    <t>Moderate</t>
  </si>
  <si>
    <t>High</t>
  </si>
  <si>
    <t>Likely</t>
  </si>
  <si>
    <t>Major</t>
  </si>
  <si>
    <t>Critical</t>
  </si>
  <si>
    <t>Almost Certain</t>
  </si>
  <si>
    <t>Severe</t>
  </si>
  <si>
    <t>Cloud Compliance Risk Dashboard</t>
  </si>
  <si>
    <t>Total Risks</t>
  </si>
  <si>
    <t>Count</t>
  </si>
  <si>
    <t>Critical Risks</t>
  </si>
  <si>
    <t>High Risks</t>
  </si>
  <si>
    <t>Medium Risks</t>
  </si>
  <si>
    <t>Open Risks</t>
  </si>
  <si>
    <t>Key Findings</t>
  </si>
  <si>
    <t>Priority Actions</t>
  </si>
  <si>
    <t>1. Restrict public access to cloud storage</t>
  </si>
  <si>
    <t>2. Enable MFA for administrator accounts</t>
  </si>
  <si>
    <t>3. Apply least privilege to user permissions</t>
  </si>
  <si>
    <t>4. Monitor remediation and collect evidence</t>
  </si>
  <si>
    <t>Cloud Compliance Risk Assessment</t>
  </si>
  <si>
    <t>Project Type</t>
  </si>
  <si>
    <t>Simulated Portfolio Project</t>
  </si>
  <si>
    <t>Scenario</t>
  </si>
  <si>
    <t>A fictional company uses cloud services to store data and operate business systems</t>
  </si>
  <si>
    <t>Objective</t>
  </si>
  <si>
    <t>Identify, assess, prioritize, and monitor cloud compliance risks</t>
  </si>
  <si>
    <t>Framework</t>
  </si>
  <si>
    <t>NIST Cybersecurity Framework 2.0</t>
  </si>
  <si>
    <t>Scope</t>
  </si>
  <si>
    <t>Cloud identity, storage, databases, monitoring, backups, and third-party access</t>
  </si>
  <si>
    <t>Tools</t>
  </si>
  <si>
    <t>Excel-compatible spreadsheet and Microsoft Learn</t>
  </si>
  <si>
    <t>Role</t>
  </si>
  <si>
    <t>Cloud Compliance Analyst</t>
  </si>
  <si>
    <t>Deliverables</t>
  </si>
  <si>
    <t>Risk register, risk scoring model, dashboard, findings, and remediation actions</t>
  </si>
  <si>
    <t>Disclaimer</t>
  </si>
  <si>
    <t>This is a simulated project created for learning and portfolio purposes</t>
  </si>
  <si>
    <t>Reference Source</t>
  </si>
  <si>
    <t>https://www.nist.gov/cyberframework</t>
  </si>
  <si>
    <t>Evidence ID</t>
  </si>
  <si>
    <t>Evidence Name</t>
  </si>
  <si>
    <t>Evidence Owner</t>
  </si>
  <si>
    <t>Requested Date</t>
  </si>
  <si>
    <t>Received Date</t>
  </si>
  <si>
    <t>Review Status</t>
  </si>
  <si>
    <t>Reviewer Notes</t>
  </si>
  <si>
    <t>E-001</t>
  </si>
  <si>
    <t>Pending</t>
  </si>
  <si>
    <t>Awaiting evidence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</si>
  <si>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</si>
  <si>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</si>
  <si>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</si>
  <si>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</si>
  <si>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</si>
  <si>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</si>
  <si>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</si>
  <si>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</si>
  <si>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</si>
  <si>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E-011</t>
  </si>
  <si>
    <t>E-012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</si>
</sst>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0"/>
      <color rgb="FF1F2937"/>
      <name val="Aptos"/>
      <charset val="134"/>
    </font>
    <font>
      <b/>
      <sz val="10"/>
      <color rgb="FF1F2937"/>
      <name val="Aptos"/>
      <charset val="134"/>
    </font>
    <font>
      <b/>
      <sz val="11"/>
      <color theme="1"/>
      <name val="Calibri"/>
      <charset val="134"/>
    </font>
    <font>
      <b/>
      <sz val="20"/>
      <color rgb="FFFFFFFF"/>
      <name val="Aptos Display"/>
      <charset val="134"/>
    </font>
    <font>
      <b/>
      <sz val="11"/>
      <color rgb="FF17365D"/>
      <name val="Aptos"/>
      <charset val="134"/>
    </font>
    <font>
      <sz val="11"/>
      <color rgb="FF344054"/>
      <name val="Aptos"/>
      <charset val="134"/>
    </font>
    <font>
      <b/>
      <sz val="11"/>
      <color rgb="FF7F6000"/>
      <name val="Aptos"/>
      <charset val="134"/>
    </font>
    <font>
      <i/>
      <sz val="10"/>
      <color rgb="FF7F6000"/>
      <name val="Aptos"/>
      <charset val="134"/>
    </font>
    <font>
      <b/>
      <sz val="11"/>
      <color rgb="FF17365D"/>
      <name val="Calibri"/>
      <charset val="134"/>
    </font>
    <font>
      <sz val="11"/>
      <color rgb="FF0000FF"/>
      <name val="Calibri"/>
      <charset val="134"/>
    </font>
    <font>
      <b/>
      <sz val="22"/>
      <color rgb="FFFFFFFF"/>
      <name val="Aptos Display"/>
      <charset val="134"/>
    </font>
    <font>
      <b/>
      <sz val="12"/>
      <color rgb="FF17365D"/>
      <name val="Aptos"/>
      <charset val="134"/>
    </font>
    <font>
      <b/>
      <sz val="18"/>
      <color rgb="FF17365D"/>
      <name val="Aptos Display"/>
      <charset val="134"/>
    </font>
    <font>
      <sz val="11"/>
      <color rgb="FF1F2937"/>
      <name val="Aptos"/>
      <charset val="134"/>
    </font>
    <font>
      <b/>
      <sz val="10"/>
      <color rgb="FFFFFFFF"/>
      <name val="Aptos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  <diagonal/>
    </border>
    <border>
      <left/>
      <right style="thin">
        <color rgb="FFCCD6E0"/>
      </right>
      <top/>
      <bottom style="thin">
        <color rgb="FFCCD6E0"/>
      </bottom>
      <diagonal/>
    </border>
    <border>
      <left style="thin">
        <color rgb="FFCCD6E0"/>
      </left>
      <right style="thin">
        <color rgb="FFCCD6E0"/>
      </right>
      <top/>
      <bottom style="thin">
        <color rgb="FFCCD6E0"/>
      </bottom>
      <diagonal/>
    </border>
    <border>
      <left style="thin">
        <color rgb="FFCCD6E0"/>
      </left>
      <right/>
      <top/>
      <bottom style="thin">
        <color rgb="FFCCD6E0"/>
      </bottom>
      <diagonal/>
    </border>
    <border>
      <left/>
      <right style="thin">
        <color rgb="FFCCD6E0"/>
      </right>
      <top style="thin">
        <color rgb="FFCCD6E0"/>
      </top>
      <bottom style="thin">
        <color rgb="FFCCD6E0"/>
      </bottom>
      <diagonal/>
    </border>
    <border>
      <left style="thin">
        <color rgb="FFCCD6E0"/>
      </left>
      <right/>
      <top style="thin">
        <color rgb="FFCCD6E0"/>
      </top>
      <bottom style="thin">
        <color rgb="FFCCD6E0"/>
      </bottom>
      <diagonal/>
    </border>
    <border>
      <left/>
      <right style="thin">
        <color rgb="FFCCD6E0"/>
      </right>
      <top style="thin">
        <color rgb="FFCCD6E0"/>
      </top>
      <bottom/>
      <diagonal/>
    </border>
    <border>
      <left style="thin">
        <color rgb="FFCCD6E0"/>
      </left>
      <right style="thin">
        <color rgb="FFCCD6E0"/>
      </right>
      <top style="thin">
        <color rgb="FFCCD6E0"/>
      </top>
      <bottom/>
      <diagonal/>
    </border>
    <border>
      <left style="thin">
        <color rgb="FFCCD6E0"/>
      </left>
      <right/>
      <top style="thin">
        <color rgb="FFCCD6E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6" fillId="12" borderId="13" applyNumberFormat="0" applyAlignment="0" applyProtection="0">
      <alignment vertical="center"/>
    </xf>
    <xf numFmtId="0" fontId="1" fillId="13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" fillId="0" borderId="17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178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178" fontId="2" fillId="0" borderId="8" xfId="0" applyNumberFormat="1" applyFont="1" applyFill="1" applyBorder="1" applyAlignment="1">
      <alignment horizontal="center" vertical="center" wrapText="1"/>
    </xf>
    <xf numFmtId="178" fontId="3" fillId="0" borderId="8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vertical="center" wrapText="1"/>
    </xf>
    <xf numFmtId="0" fontId="8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vertical="center" wrapText="1"/>
    </xf>
    <xf numFmtId="0" fontId="10" fillId="3" borderId="1" xfId="0" applyNumberFormat="1" applyFont="1" applyFill="1" applyBorder="1" applyAlignment="1">
      <alignment horizontal="center"/>
    </xf>
    <xf numFmtId="0" fontId="11" fillId="0" borderId="1" xfId="6" applyNumberFormat="1" applyFill="1" applyBorder="1"/>
    <xf numFmtId="0" fontId="12" fillId="2" borderId="0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vertical="center"/>
    </xf>
    <xf numFmtId="1" fontId="14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7" fillId="6" borderId="2" xfId="0" applyNumberFormat="1" applyFont="1" applyFill="1" applyBorder="1" applyAlignment="1">
      <alignment vertical="center" wrapText="1"/>
    </xf>
    <xf numFmtId="0" fontId="7" fillId="6" borderId="3" xfId="0" applyNumberFormat="1" applyFont="1" applyFill="1" applyBorder="1" applyAlignment="1">
      <alignment vertical="center" wrapText="1"/>
    </xf>
    <xf numFmtId="0" fontId="7" fillId="6" borderId="4" xfId="0" applyNumberFormat="1" applyFont="1" applyFill="1" applyBorder="1" applyAlignment="1">
      <alignment vertical="center" wrapText="1"/>
    </xf>
    <xf numFmtId="0" fontId="7" fillId="6" borderId="5" xfId="0" applyNumberFormat="1" applyFont="1" applyFill="1" applyBorder="1" applyAlignment="1">
      <alignment vertical="center" wrapText="1"/>
    </xf>
    <xf numFmtId="0" fontId="7" fillId="6" borderId="1" xfId="0" applyNumberFormat="1" applyFont="1" applyFill="1" applyBorder="1" applyAlignment="1">
      <alignment vertical="center" wrapText="1"/>
    </xf>
    <xf numFmtId="0" fontId="7" fillId="6" borderId="6" xfId="0" applyNumberFormat="1" applyFont="1" applyFill="1" applyBorder="1" applyAlignment="1">
      <alignment vertical="center" wrapText="1"/>
    </xf>
    <xf numFmtId="0" fontId="7" fillId="6" borderId="7" xfId="0" applyNumberFormat="1" applyFont="1" applyFill="1" applyBorder="1" applyAlignment="1">
      <alignment vertical="center" wrapText="1"/>
    </xf>
    <xf numFmtId="0" fontId="7" fillId="6" borderId="8" xfId="0" applyNumberFormat="1" applyFont="1" applyFill="1" applyBorder="1" applyAlignment="1">
      <alignment vertical="center" wrapText="1"/>
    </xf>
    <xf numFmtId="0" fontId="7" fillId="6" borderId="9" xfId="0" applyNumberFormat="1" applyFont="1" applyFill="1" applyBorder="1" applyAlignment="1">
      <alignment vertical="center" wrapText="1"/>
    </xf>
    <xf numFmtId="0" fontId="7" fillId="4" borderId="2" xfId="0" applyNumberFormat="1" applyFont="1" applyFill="1" applyBorder="1" applyAlignment="1">
      <alignment vertical="center" wrapText="1"/>
    </xf>
    <xf numFmtId="0" fontId="7" fillId="4" borderId="3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7" fillId="4" borderId="5" xfId="0" applyNumberFormat="1" applyFont="1" applyFill="1" applyBorder="1" applyAlignment="1">
      <alignment vertical="center" wrapText="1"/>
    </xf>
    <xf numFmtId="0" fontId="7" fillId="4" borderId="6" xfId="0" applyNumberFormat="1" applyFont="1" applyFill="1" applyBorder="1" applyAlignment="1">
      <alignment vertical="center" wrapText="1"/>
    </xf>
    <xf numFmtId="0" fontId="7" fillId="4" borderId="7" xfId="0" applyNumberFormat="1" applyFont="1" applyFill="1" applyBorder="1" applyAlignment="1">
      <alignment vertical="center" wrapText="1"/>
    </xf>
    <xf numFmtId="0" fontId="7" fillId="4" borderId="8" xfId="0" applyNumberFormat="1" applyFont="1" applyFill="1" applyBorder="1" applyAlignment="1">
      <alignment vertical="center" wrapText="1"/>
    </xf>
    <xf numFmtId="0" fontId="7" fillId="4" borderId="9" xfId="0" applyNumberFormat="1" applyFont="1" applyFill="1" applyBorder="1" applyAlignment="1">
      <alignment vertical="center" wrapText="1"/>
    </xf>
    <xf numFmtId="0" fontId="15" fillId="4" borderId="1" xfId="0" applyNumberFormat="1" applyFont="1" applyFill="1" applyBorder="1" applyAlignment="1">
      <alignment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/>
    <xf numFmtId="0" fontId="0" fillId="0" borderId="0" xfId="0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 wrapText="1"/>
    </xf>
    <xf numFmtId="0" fontId="2" fillId="7" borderId="3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NumberFormat="1" applyFont="1" applyFill="1" applyBorder="1" applyAlignment="1">
      <alignment horizontal="center" vertical="center" wrapText="1"/>
    </xf>
    <xf numFmtId="0" fontId="2" fillId="8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ont>
        <b val="1"/>
        <color rgb="FFC00000"/>
      </font>
      <fill>
        <patternFill patternType="solid">
          <bgColor rgb="FFFFC7CE"/>
        </patternFill>
      </fill>
    </dxf>
    <dxf>
      <font>
        <b val="1"/>
        <color rgb="FF7F3F00"/>
      </font>
      <fill>
        <patternFill patternType="solid">
          <bgColor rgb="FFF4B183"/>
        </patternFill>
      </fill>
    </dxf>
    <dxf>
      <font>
        <b val="1"/>
        <color rgb="FF7F6000"/>
      </font>
      <fill>
        <patternFill patternType="solid">
          <bgColor rgb="FFFFE699"/>
        </patternFill>
      </fill>
    </dxf>
    <dxf>
      <font>
        <b val="1"/>
        <color rgb="FF375623"/>
      </font>
      <fill>
        <patternFill patternType="solid">
          <bgColor rgb="FFC6E0B4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C6E0B4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Risks by Severity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Dashboard!$G$5:$G$7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Dashboard!$H$5:$H$7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87c345b-8926-4d0b-a3ee-8b3cb4923b50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21</xdr:row>
      <xdr:rowOff>0</xdr:rowOff>
    </xdr:to>
    <xdr:graphicFrame>
      <xdr:nvGraphicFramePr>
        <xdr:cNvPr id="2" name="Chart"/>
        <xdr:cNvGraphicFramePr/>
      </xdr:nvGraphicFramePr>
      <xdr:xfrm>
        <a:off x="7054850" y="2844800"/>
        <a:ext cx="4191000" cy="429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iskRegisterTable" displayName="RiskRegisterTable" ref="A1:M13" totalsRowShown="0">
  <autoFilter xmlns:etc="http://www.wps.cn/officeDocument/2017/etCustomData" ref="A1:M13" etc:filterBottomFollowUsedRange="0"/>
  <tableColumns count="13">
    <tableColumn id="1" name="Risk ID"/>
    <tableColumn id="2" name="Cloud Asset"/>
    <tableColumn id="3" name="Risk Description"/>
    <tableColumn id="4" name="Likelihood Score"/>
    <tableColumn id="5" name="Impact Score"/>
    <tableColumn id="6" name="Risk Level"/>
    <tableColumn id="7" name="Mitigation"/>
    <tableColumn id="8" name="Risk Owner"/>
    <tableColumn id="9" name="Status"/>
    <tableColumn id="10" name="Evidence"/>
    <tableColumn id="11" name="Control Reference"/>
    <tableColumn id="12" name="Target Date"/>
    <tableColumn id="13" name="Residual 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TrackerTable" displayName="EvidenceTrackerTable" ref="A1:H13" totalsRowShown="0">
  <autoFilter xmlns:etc="http://www.wps.cn/officeDocument/2017/etCustomData" ref="A1:H13" etc:filterBottomFollowUsedRange="0"/>
  <tableColumns count="8">
    <tableColumn id="1" name="Evidence ID"/>
    <tableColumn id="2" name="Risk ID"/>
    <tableColumn id="3" name="Evidence Name"/>
    <tableColumn id="4" name="Evidence Owner"/>
    <tableColumn id="5" name="Requested Date"/>
    <tableColumn id="6" name="Received Date"/>
    <tableColumn id="7" name="Review Status"/>
    <tableColumn id="8" name="Review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st.gov/cyberframewor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zoomScale="60" zoomScaleNormal="60" workbookViewId="0">
      <selection activeCell="A1" sqref="A1"/>
    </sheetView>
  </sheetViews>
  <sheetFormatPr defaultColWidth="9" defaultRowHeight="14.5"/>
  <cols>
    <col min="1" max="1" width="12" customWidth="1"/>
    <col min="2" max="2" width="20" customWidth="1"/>
    <col min="3" max="3" width="38" customWidth="1"/>
    <col min="4" max="4" width="15" customWidth="1"/>
    <col min="5" max="5" width="14" customWidth="1"/>
    <col min="6" max="6" width="13" customWidth="1"/>
    <col min="7" max="7" width="40" customWidth="1"/>
    <col min="8" max="8" width="22" customWidth="1"/>
    <col min="9" max="9" width="13" customWidth="1"/>
    <col min="10" max="10" width="28" customWidth="1"/>
    <col min="11" max="11" width="23" customWidth="1"/>
    <col min="12" max="13" width="15" customWidth="1"/>
  </cols>
  <sheetData>
    <row r="1" ht="34" customHeight="1" spans="1:13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</row>
    <row r="2" ht="24" customHeight="1" spans="1:13">
      <c r="A2" s="3" t="s">
        <v>13</v>
      </c>
      <c r="B2" s="4" t="s">
        <v>14</v>
      </c>
      <c r="C2" s="4" t="s">
        <v>15</v>
      </c>
      <c r="D2" s="4">
        <v>4</v>
      </c>
      <c r="E2" s="4">
        <v>5</v>
      </c>
      <c r="F2" s="51" t="str">
        <f>IF(D2*E2&gt;=17,"Critical",IF(D2*E2&gt;=10,"High",IF(D2*E2&gt;=5,"Medium","Low")))</f>
        <v>Critical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5">
        <v>46279</v>
      </c>
      <c r="M2" s="6" t="s">
        <v>21</v>
      </c>
    </row>
    <row r="3" ht="24" customHeight="1" spans="1:13">
      <c r="A3" s="7" t="s">
        <v>22</v>
      </c>
      <c r="B3" s="8" t="s">
        <v>23</v>
      </c>
      <c r="C3" s="8" t="s">
        <v>24</v>
      </c>
      <c r="D3" s="8">
        <v>4</v>
      </c>
      <c r="E3" s="8">
        <v>5</v>
      </c>
      <c r="F3" s="52" t="str">
        <f t="shared" ref="F3:F13" si="0">IF(D3*E3&gt;=17,"Critical",IF(D3*E3&gt;=10,"High",IF(D3*E3&gt;=5,"Medium","Low")))</f>
        <v>Critical</v>
      </c>
      <c r="G3" s="8" t="s">
        <v>25</v>
      </c>
      <c r="H3" s="8" t="s">
        <v>26</v>
      </c>
      <c r="I3" s="8" t="s">
        <v>18</v>
      </c>
      <c r="J3" s="8" t="s">
        <v>27</v>
      </c>
      <c r="K3" s="8" t="s">
        <v>28</v>
      </c>
      <c r="L3" s="9">
        <v>46279</v>
      </c>
      <c r="M3" s="10" t="s">
        <v>21</v>
      </c>
    </row>
    <row r="4" ht="24" customHeight="1" spans="1:13">
      <c r="A4" s="7" t="s">
        <v>29</v>
      </c>
      <c r="B4" s="8" t="s">
        <v>30</v>
      </c>
      <c r="C4" s="8" t="s">
        <v>31</v>
      </c>
      <c r="D4" s="8">
        <v>3</v>
      </c>
      <c r="E4" s="8">
        <v>5</v>
      </c>
      <c r="F4" s="53" t="str">
        <f t="shared" si="0"/>
        <v>High</v>
      </c>
      <c r="G4" s="8" t="s">
        <v>32</v>
      </c>
      <c r="H4" s="8" t="s">
        <v>33</v>
      </c>
      <c r="I4" s="8" t="s">
        <v>18</v>
      </c>
      <c r="J4" s="8" t="s">
        <v>34</v>
      </c>
      <c r="K4" s="8" t="s">
        <v>20</v>
      </c>
      <c r="L4" s="9">
        <v>46302</v>
      </c>
      <c r="M4" s="10" t="s">
        <v>35</v>
      </c>
    </row>
    <row r="5" ht="24" customHeight="1" spans="1:13">
      <c r="A5" s="7" t="s">
        <v>36</v>
      </c>
      <c r="B5" s="8" t="s">
        <v>37</v>
      </c>
      <c r="C5" s="8" t="s">
        <v>38</v>
      </c>
      <c r="D5" s="8">
        <v>3</v>
      </c>
      <c r="E5" s="8">
        <v>4</v>
      </c>
      <c r="F5" s="53" t="str">
        <f t="shared" si="0"/>
        <v>High</v>
      </c>
      <c r="G5" s="8" t="s">
        <v>39</v>
      </c>
      <c r="H5" s="8" t="s">
        <v>40</v>
      </c>
      <c r="I5" s="8" t="s">
        <v>18</v>
      </c>
      <c r="J5" s="8" t="s">
        <v>41</v>
      </c>
      <c r="K5" s="8" t="s">
        <v>42</v>
      </c>
      <c r="L5" s="9">
        <v>46302</v>
      </c>
      <c r="M5" s="10" t="s">
        <v>21</v>
      </c>
    </row>
    <row r="6" ht="24" customHeight="1" spans="1:13">
      <c r="A6" s="7" t="s">
        <v>43</v>
      </c>
      <c r="B6" s="8" t="s">
        <v>44</v>
      </c>
      <c r="C6" s="8" t="s">
        <v>45</v>
      </c>
      <c r="D6" s="8">
        <v>4</v>
      </c>
      <c r="E6" s="8">
        <v>5</v>
      </c>
      <c r="F6" s="52" t="str">
        <f t="shared" si="0"/>
        <v>Critical</v>
      </c>
      <c r="G6" s="8" t="s">
        <v>46</v>
      </c>
      <c r="H6" s="8" t="s">
        <v>26</v>
      </c>
      <c r="I6" s="8" t="s">
        <v>18</v>
      </c>
      <c r="J6" s="8" t="s">
        <v>47</v>
      </c>
      <c r="K6" s="8" t="s">
        <v>28</v>
      </c>
      <c r="L6" s="9">
        <v>46279</v>
      </c>
      <c r="M6" s="10" t="s">
        <v>21</v>
      </c>
    </row>
    <row r="7" ht="24" customHeight="1" spans="1:13">
      <c r="A7" s="7" t="s">
        <v>48</v>
      </c>
      <c r="B7" s="8" t="s">
        <v>49</v>
      </c>
      <c r="C7" s="8" t="s">
        <v>50</v>
      </c>
      <c r="D7" s="8">
        <v>4</v>
      </c>
      <c r="E7" s="8">
        <v>4</v>
      </c>
      <c r="F7" s="53" t="str">
        <f t="shared" si="0"/>
        <v>High</v>
      </c>
      <c r="G7" s="8" t="s">
        <v>51</v>
      </c>
      <c r="H7" s="8" t="s">
        <v>52</v>
      </c>
      <c r="I7" s="8" t="s">
        <v>18</v>
      </c>
      <c r="J7" s="8" t="s">
        <v>53</v>
      </c>
      <c r="K7" s="8" t="s">
        <v>54</v>
      </c>
      <c r="L7" s="9">
        <v>46302</v>
      </c>
      <c r="M7" s="10" t="s">
        <v>21</v>
      </c>
    </row>
    <row r="8" ht="24" customHeight="1" spans="1:13">
      <c r="A8" s="7" t="s">
        <v>55</v>
      </c>
      <c r="B8" s="8" t="s">
        <v>56</v>
      </c>
      <c r="C8" s="8" t="s">
        <v>57</v>
      </c>
      <c r="D8" s="8">
        <v>4</v>
      </c>
      <c r="E8" s="8">
        <v>4</v>
      </c>
      <c r="F8" s="53" t="str">
        <f t="shared" si="0"/>
        <v>High</v>
      </c>
      <c r="G8" s="8" t="s">
        <v>58</v>
      </c>
      <c r="H8" s="8" t="s">
        <v>17</v>
      </c>
      <c r="I8" s="8" t="s">
        <v>18</v>
      </c>
      <c r="J8" s="8" t="s">
        <v>59</v>
      </c>
      <c r="K8" s="8" t="s">
        <v>60</v>
      </c>
      <c r="L8" s="9">
        <v>46302</v>
      </c>
      <c r="M8" s="10" t="s">
        <v>21</v>
      </c>
    </row>
    <row r="9" ht="24" customHeight="1" spans="1:13">
      <c r="A9" s="7" t="s">
        <v>61</v>
      </c>
      <c r="B9" s="8" t="s">
        <v>62</v>
      </c>
      <c r="C9" s="8" t="s">
        <v>63</v>
      </c>
      <c r="D9" s="8">
        <v>3</v>
      </c>
      <c r="E9" s="8">
        <v>4</v>
      </c>
      <c r="F9" s="53" t="str">
        <f t="shared" si="0"/>
        <v>High</v>
      </c>
      <c r="G9" s="8" t="s">
        <v>64</v>
      </c>
      <c r="H9" s="8" t="s">
        <v>65</v>
      </c>
      <c r="I9" s="8" t="s">
        <v>18</v>
      </c>
      <c r="J9" s="8" t="s">
        <v>66</v>
      </c>
      <c r="K9" s="8" t="s">
        <v>20</v>
      </c>
      <c r="L9" s="9">
        <v>46302</v>
      </c>
      <c r="M9" s="10" t="s">
        <v>35</v>
      </c>
    </row>
    <row r="10" ht="24" customHeight="1" spans="1:13">
      <c r="A10" s="7" t="s">
        <v>67</v>
      </c>
      <c r="B10" s="8" t="s">
        <v>68</v>
      </c>
      <c r="C10" s="8" t="s">
        <v>69</v>
      </c>
      <c r="D10" s="8">
        <v>3</v>
      </c>
      <c r="E10" s="8">
        <v>3</v>
      </c>
      <c r="F10" s="54" t="str">
        <f t="shared" si="0"/>
        <v>Medium</v>
      </c>
      <c r="G10" s="8" t="s">
        <v>70</v>
      </c>
      <c r="H10" s="8" t="s">
        <v>71</v>
      </c>
      <c r="I10" s="8" t="s">
        <v>18</v>
      </c>
      <c r="J10" s="8" t="s">
        <v>72</v>
      </c>
      <c r="K10" s="8" t="s">
        <v>73</v>
      </c>
      <c r="L10" s="9">
        <v>46332</v>
      </c>
      <c r="M10" s="10" t="s">
        <v>35</v>
      </c>
    </row>
    <row r="11" ht="24" customHeight="1" spans="1:13">
      <c r="A11" s="7" t="s">
        <v>74</v>
      </c>
      <c r="B11" s="8" t="s">
        <v>23</v>
      </c>
      <c r="C11" s="8" t="s">
        <v>75</v>
      </c>
      <c r="D11" s="8">
        <v>3</v>
      </c>
      <c r="E11" s="8">
        <v>4</v>
      </c>
      <c r="F11" s="53" t="str">
        <f t="shared" si="0"/>
        <v>High</v>
      </c>
      <c r="G11" s="8" t="s">
        <v>76</v>
      </c>
      <c r="H11" s="8" t="s">
        <v>26</v>
      </c>
      <c r="I11" s="8" t="s">
        <v>18</v>
      </c>
      <c r="J11" s="8" t="s">
        <v>77</v>
      </c>
      <c r="K11" s="8" t="s">
        <v>28</v>
      </c>
      <c r="L11" s="9">
        <v>46302</v>
      </c>
      <c r="M11" s="10" t="s">
        <v>35</v>
      </c>
    </row>
    <row r="12" ht="24" customHeight="1" spans="1:13">
      <c r="A12" s="7" t="s">
        <v>78</v>
      </c>
      <c r="B12" s="8" t="s">
        <v>79</v>
      </c>
      <c r="C12" s="8" t="s">
        <v>80</v>
      </c>
      <c r="D12" s="8">
        <v>3</v>
      </c>
      <c r="E12" s="8">
        <v>5</v>
      </c>
      <c r="F12" s="53" t="str">
        <f t="shared" si="0"/>
        <v>High</v>
      </c>
      <c r="G12" s="8" t="s">
        <v>81</v>
      </c>
      <c r="H12" s="8" t="s">
        <v>82</v>
      </c>
      <c r="I12" s="8" t="s">
        <v>18</v>
      </c>
      <c r="J12" s="8" t="s">
        <v>83</v>
      </c>
      <c r="K12" s="8" t="s">
        <v>84</v>
      </c>
      <c r="L12" s="9">
        <v>46302</v>
      </c>
      <c r="M12" s="10" t="s">
        <v>21</v>
      </c>
    </row>
    <row r="13" ht="24" customHeight="1" spans="1:13">
      <c r="A13" s="12" t="s">
        <v>85</v>
      </c>
      <c r="B13" s="13" t="s">
        <v>86</v>
      </c>
      <c r="C13" s="13" t="s">
        <v>87</v>
      </c>
      <c r="D13" s="13">
        <v>3</v>
      </c>
      <c r="E13" s="13">
        <v>4</v>
      </c>
      <c r="F13" s="55" t="str">
        <f t="shared" si="0"/>
        <v>High</v>
      </c>
      <c r="G13" s="13" t="s">
        <v>88</v>
      </c>
      <c r="H13" s="13" t="s">
        <v>89</v>
      </c>
      <c r="I13" s="13" t="s">
        <v>18</v>
      </c>
      <c r="J13" s="13" t="s">
        <v>90</v>
      </c>
      <c r="K13" s="13" t="s">
        <v>91</v>
      </c>
      <c r="L13" s="14">
        <v>46302</v>
      </c>
      <c r="M13" s="16" t="s">
        <v>21</v>
      </c>
    </row>
  </sheetData>
  <conditionalFormatting sqref="F2:F13">
    <cfRule type="containsText" dxfId="0" priority="1" operator="between" text="Critical">
      <formula>NOT(ISERROR(SEARCH("Critical",F2)))</formula>
    </cfRule>
    <cfRule type="containsText" dxfId="1" priority="2" operator="between" text="High">
      <formula>NOT(ISERROR(SEARCH("High",F2)))</formula>
    </cfRule>
    <cfRule type="containsText" dxfId="2" priority="3" operator="between" text="Medium">
      <formula>NOT(ISERROR(SEARCH("Medium",F2)))</formula>
    </cfRule>
    <cfRule type="containsText" dxfId="3" priority="4" operator="between" text="Low">
      <formula>NOT(ISERROR(SEARCH("Low",F2)))</formula>
    </cfRule>
  </conditionalFormatting>
  <conditionalFormatting sqref="M2:M13">
    <cfRule type="containsText" dxfId="4" priority="5" operator="between" text="Medium">
      <formula>NOT(ISERROR(SEARCH("Medium",M2)))</formula>
    </cfRule>
    <cfRule type="containsText" dxfId="5" priority="6" operator="between" text="Low">
      <formula>NOT(ISERROR(SEARCH("Low",M2)))</formula>
    </cfRule>
  </conditionalFormatting>
  <dataValidations count="3">
    <dataValidation type="list" sqref="I2:I13">
      <formula1>"Open,In Progress,Closed"</formula1>
    </dataValidation>
    <dataValidation type="list" sqref="M2:M13">
      <formula1>"Low,Medium,High,Critical"</formula1>
    </dataValidation>
    <dataValidation type="whole" operator="between" sqref="D2:E13">
      <formula1>1</formula1>
      <formula2>5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showGridLines="0" workbookViewId="0">
      <selection activeCell="A1" sqref="A1"/>
    </sheetView>
  </sheetViews>
  <sheetFormatPr defaultColWidth="8.72727272727273" defaultRowHeight="14.5" outlineLevelRow="6" outlineLevelCol="7"/>
  <cols>
    <col min="1" max="1" width="20" customWidth="1"/>
    <col min="2" max="2" width="16" customWidth="1"/>
    <col min="3" max="3" width="4" customWidth="1"/>
    <col min="4" max="4" width="20" customWidth="1"/>
    <col min="5" max="5" width="16" customWidth="1"/>
    <col min="6" max="6" width="4" customWidth="1"/>
    <col min="7" max="8" width="20" customWidth="1"/>
  </cols>
  <sheetData>
    <row r="1" spans="1:8">
      <c r="A1" s="1" t="s">
        <v>92</v>
      </c>
      <c r="B1" s="1" t="s">
        <v>3</v>
      </c>
      <c r="D1" s="1" t="s">
        <v>93</v>
      </c>
      <c r="E1" s="1" t="s">
        <v>4</v>
      </c>
      <c r="G1" s="1" t="s">
        <v>94</v>
      </c>
      <c r="H1" s="1" t="s">
        <v>95</v>
      </c>
    </row>
    <row r="2" spans="1:8">
      <c r="A2" s="46" t="s">
        <v>96</v>
      </c>
      <c r="B2" s="47">
        <v>1</v>
      </c>
      <c r="C2" s="48"/>
      <c r="D2" s="46" t="s">
        <v>97</v>
      </c>
      <c r="E2" s="47">
        <v>1</v>
      </c>
      <c r="F2" s="48"/>
      <c r="G2" s="47">
        <v>1</v>
      </c>
      <c r="H2" s="47" t="s">
        <v>35</v>
      </c>
    </row>
    <row r="3" spans="1:8">
      <c r="A3" s="46" t="s">
        <v>98</v>
      </c>
      <c r="B3" s="47">
        <v>2</v>
      </c>
      <c r="C3" s="48"/>
      <c r="D3" s="46" t="s">
        <v>99</v>
      </c>
      <c r="E3" s="47">
        <v>2</v>
      </c>
      <c r="F3" s="48"/>
      <c r="G3" s="47">
        <v>5</v>
      </c>
      <c r="H3" s="47" t="s">
        <v>21</v>
      </c>
    </row>
    <row r="4" spans="1:8">
      <c r="A4" s="46" t="s">
        <v>100</v>
      </c>
      <c r="B4" s="47">
        <v>3</v>
      </c>
      <c r="C4" s="48"/>
      <c r="D4" s="46" t="s">
        <v>101</v>
      </c>
      <c r="E4" s="47">
        <v>3</v>
      </c>
      <c r="F4" s="48"/>
      <c r="G4" s="47">
        <v>10</v>
      </c>
      <c r="H4" s="47" t="s">
        <v>102</v>
      </c>
    </row>
    <row r="5" spans="1:8">
      <c r="A5" s="46" t="s">
        <v>103</v>
      </c>
      <c r="B5" s="47">
        <v>4</v>
      </c>
      <c r="C5" s="48"/>
      <c r="D5" s="46" t="s">
        <v>104</v>
      </c>
      <c r="E5" s="47">
        <v>4</v>
      </c>
      <c r="F5" s="48"/>
      <c r="G5" s="47">
        <v>17</v>
      </c>
      <c r="H5" s="47" t="s">
        <v>105</v>
      </c>
    </row>
    <row r="6" spans="1:8">
      <c r="A6" s="46" t="s">
        <v>106</v>
      </c>
      <c r="B6" s="47">
        <v>5</v>
      </c>
      <c r="C6" s="48"/>
      <c r="D6" s="46" t="s">
        <v>107</v>
      </c>
      <c r="E6" s="47">
        <v>5</v>
      </c>
      <c r="F6" s="48"/>
      <c r="G6" s="48"/>
      <c r="H6" s="48"/>
    </row>
    <row r="7" spans="1:8">
      <c r="D7" s="49"/>
      <c r="E7" s="49"/>
      <c r="G7" s="49"/>
      <c r="H7" s="49"/>
    </row>
  </sheetData>
  <conditionalFormatting sqref="H2:H5">
    <cfRule type="containsText" dxfId="0" priority="1" operator="between" text="Critical">
      <formula>NOT(ISERROR(SEARCH("Critical",H2)))</formula>
    </cfRule>
    <cfRule type="containsText" dxfId="6" priority="2" operator="between" text="High">
      <formula>NOT(ISERROR(SEARCH("High",H2)))</formula>
    </cfRule>
    <cfRule type="containsText" dxfId="7" priority="3" operator="between" text="Medium">
      <formula>NOT(ISERROR(SEARCH("Medium",H2)))</formula>
    </cfRule>
    <cfRule type="containsText" dxfId="8" priority="4" operator="between" text="Low">
      <formula>NOT(ISERROR(SEARCH("Low",H2)))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zoomScale="70" zoomScaleNormal="70" topLeftCell="A11" workbookViewId="0">
      <selection activeCell="A1" sqref="A1:J2"/>
    </sheetView>
  </sheetViews>
  <sheetFormatPr defaultColWidth="8.72727272727273" defaultRowHeight="14.5"/>
  <cols>
    <col min="1" max="1" width="27" customWidth="1"/>
    <col min="2" max="2" width="14" customWidth="1"/>
    <col min="3" max="10" width="15" customWidth="1"/>
  </cols>
  <sheetData>
    <row r="1" ht="34" customHeight="1" spans="1:10">
      <c r="A1" s="25" t="s">
        <v>108</v>
      </c>
      <c r="B1" s="25"/>
      <c r="C1" s="25"/>
      <c r="D1" s="25"/>
      <c r="E1" s="25"/>
      <c r="F1" s="25"/>
      <c r="G1" s="25"/>
      <c r="H1" s="25"/>
      <c r="I1" s="25"/>
      <c r="J1" s="25"/>
    </row>
    <row r="2" ht="34" customHeight="1" spans="1:10">
      <c r="A2" s="25"/>
      <c r="B2" s="25"/>
      <c r="C2" s="25"/>
      <c r="D2" s="25"/>
      <c r="E2" s="25"/>
      <c r="F2" s="25"/>
      <c r="G2" s="25"/>
      <c r="H2" s="25"/>
      <c r="I2" s="25"/>
      <c r="J2" s="25"/>
    </row>
    <row r="3" ht="26" customHeight="1"/>
    <row r="4" ht="26" customHeight="1" spans="1:10">
      <c r="A4" s="26" t="s">
        <v>109</v>
      </c>
      <c r="B4" s="27">
        <f>COUNTA('Risk Register'!A2:A13)</f>
        <v>12</v>
      </c>
      <c r="G4" s="1" t="s">
        <v>5</v>
      </c>
      <c r="H4" s="1" t="s">
        <v>110</v>
      </c>
    </row>
    <row r="5" ht="26" customHeight="1" spans="1:10">
      <c r="A5" s="26" t="s">
        <v>111</v>
      </c>
      <c r="B5" s="27">
        <f>COUNTIF('Risk Register'!F2:F13,"Critical")</f>
        <v>3</v>
      </c>
      <c r="G5" s="28" t="s">
        <v>105</v>
      </c>
      <c r="H5" s="28">
        <f>B5</f>
        <v>3</v>
      </c>
    </row>
    <row r="6" ht="26" customHeight="1" spans="1:10">
      <c r="A6" s="26" t="s">
        <v>112</v>
      </c>
      <c r="B6" s="27">
        <f>COUNTIF('Risk Register'!F2:F13,"High")</f>
        <v>8</v>
      </c>
      <c r="G6" s="28" t="s">
        <v>102</v>
      </c>
      <c r="H6" s="28">
        <f>B6</f>
        <v>8</v>
      </c>
    </row>
    <row r="7" ht="26" customHeight="1" spans="1:10">
      <c r="A7" s="26" t="s">
        <v>113</v>
      </c>
      <c r="B7" s="27">
        <f>COUNTIF('Risk Register'!F2:F13,"Medium")</f>
        <v>1</v>
      </c>
      <c r="G7" s="28" t="s">
        <v>21</v>
      </c>
      <c r="H7" s="28">
        <f>B7</f>
        <v>1</v>
      </c>
    </row>
    <row r="8" ht="26" customHeight="1" spans="1:10">
      <c r="A8" s="26" t="s">
        <v>114</v>
      </c>
      <c r="B8" s="27">
        <f>COUNTIF('Risk Register'!I2:I13,"Open")</f>
        <v>12</v>
      </c>
    </row>
    <row r="9" ht="26" customHeight="1"/>
    <row r="10" ht="26" customHeight="1" spans="1:10">
      <c r="A10" s="1" t="s">
        <v>115</v>
      </c>
      <c r="B10" s="1"/>
      <c r="C10" s="1"/>
      <c r="D10" s="1"/>
      <c r="E10" s="1"/>
    </row>
    <row r="11" ht="26" customHeight="1" spans="1:10">
      <c r="A11" s="29" t="str">
        <f>B5&amp;" critical risks require immediate action"</f>
        <v>3 critical risks require immediate action</v>
      </c>
      <c r="B11" s="30"/>
      <c r="C11" s="30"/>
      <c r="D11" s="30"/>
      <c r="E11" s="31"/>
    </row>
    <row r="12" ht="26" customHeight="1" spans="1:10">
      <c r="A12" s="32" t="str">
        <f>B6&amp;" high risks require remediation within 30 days"</f>
        <v>8 high risks require remediation within 30 days</v>
      </c>
      <c r="B12" s="33"/>
      <c r="C12" s="33"/>
      <c r="D12" s="33"/>
      <c r="E12" s="34"/>
    </row>
    <row r="13" ht="26" customHeight="1" spans="1:10">
      <c r="A13" s="35" t="str">
        <f>"All "&amp;B8&amp;" identified risks are currently open"</f>
        <v>All 12 identified risks are currently open</v>
      </c>
      <c r="B13" s="36"/>
      <c r="C13" s="36"/>
      <c r="D13" s="36"/>
      <c r="E13" s="37"/>
    </row>
    <row r="14" ht="26" customHeight="1"/>
    <row r="15" ht="26" customHeight="1" spans="1:10">
      <c r="A15" s="1" t="s">
        <v>116</v>
      </c>
      <c r="B15" s="1"/>
      <c r="C15" s="1"/>
      <c r="D15" s="1"/>
      <c r="E15" s="1"/>
    </row>
    <row r="16" ht="26" customHeight="1" spans="1:10">
      <c r="A16" s="38" t="s">
        <v>117</v>
      </c>
      <c r="B16" s="39"/>
      <c r="C16" s="39"/>
      <c r="D16" s="39"/>
      <c r="E16" s="40"/>
    </row>
    <row r="17" ht="26" customHeight="1" spans="1:5">
      <c r="A17" s="41" t="s">
        <v>118</v>
      </c>
      <c r="B17" s="20"/>
      <c r="C17" s="20"/>
      <c r="D17" s="20"/>
      <c r="E17" s="42"/>
    </row>
    <row r="18" ht="26" customHeight="1" spans="1:5">
      <c r="A18" s="41" t="s">
        <v>119</v>
      </c>
      <c r="B18" s="20"/>
      <c r="C18" s="20"/>
      <c r="D18" s="20"/>
      <c r="E18" s="42"/>
    </row>
    <row r="19" ht="26" customHeight="1" spans="1:5">
      <c r="A19" s="43" t="s">
        <v>120</v>
      </c>
      <c r="B19" s="44"/>
      <c r="C19" s="44"/>
      <c r="D19" s="44"/>
      <c r="E19" s="45"/>
    </row>
    <row r="20" ht="26" customHeight="1"/>
    <row r="21" ht="26" customHeight="1"/>
    <row r="22" ht="26" customHeight="1"/>
    <row r="23" ht="26" customHeight="1"/>
    <row r="24" ht="26" customHeight="1"/>
  </sheetData>
  <mergeCells count="10">
    <mergeCell ref="A10:E10"/>
    <mergeCell ref="A11:E11"/>
    <mergeCell ref="A12:E12"/>
    <mergeCell ref="A13:E13"/>
    <mergeCell ref="A15:E15"/>
    <mergeCell ref="A16:E16"/>
    <mergeCell ref="A17:E17"/>
    <mergeCell ref="A18:E18"/>
    <mergeCell ref="A19:E19"/>
    <mergeCell ref="A1:J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topLeftCell="B3" workbookViewId="0">
      <selection activeCell="E8" sqref="E8"/>
    </sheetView>
  </sheetViews>
  <sheetFormatPr defaultColWidth="8.72727272727273" defaultRowHeight="14.5"/>
  <cols>
    <col min="1" max="1" width="24" customWidth="1"/>
    <col min="2" max="2" width="74" customWidth="1"/>
  </cols>
  <sheetData>
    <row r="1" ht="40" customHeight="1" spans="1:9">
      <c r="A1" s="18" t="s">
        <v>121</v>
      </c>
      <c r="B1" s="18"/>
      <c r="C1" s="2"/>
      <c r="D1" s="2"/>
      <c r="E1" s="2"/>
      <c r="F1" s="2"/>
      <c r="G1" s="2"/>
      <c r="H1" s="2"/>
      <c r="I1" s="2"/>
    </row>
    <row r="2" ht="27" customHeight="1" spans="1:9">
      <c r="C2" s="2"/>
      <c r="D2" s="2"/>
      <c r="E2" s="2"/>
      <c r="F2" s="2"/>
      <c r="G2" s="2"/>
      <c r="H2" s="2"/>
      <c r="I2" s="2"/>
    </row>
    <row r="3" ht="27" customHeight="1" spans="1:9">
      <c r="A3" s="19" t="s">
        <v>122</v>
      </c>
      <c r="B3" s="20" t="s">
        <v>123</v>
      </c>
      <c r="C3" s="2"/>
      <c r="D3" s="2"/>
      <c r="E3" s="2"/>
      <c r="F3" s="2"/>
      <c r="G3" s="2"/>
      <c r="H3" s="2"/>
      <c r="I3" s="2"/>
    </row>
    <row r="4" ht="27" customHeight="1" spans="1:9">
      <c r="A4" s="19" t="s">
        <v>124</v>
      </c>
      <c r="B4" s="20" t="s">
        <v>125</v>
      </c>
      <c r="C4" s="2"/>
      <c r="D4" s="2"/>
      <c r="E4" s="2"/>
      <c r="F4" s="2"/>
      <c r="G4" s="2"/>
      <c r="H4" s="2"/>
      <c r="I4" s="2"/>
    </row>
    <row r="5" ht="27" customHeight="1" spans="1:9">
      <c r="A5" s="19" t="s">
        <v>126</v>
      </c>
      <c r="B5" s="20" t="s">
        <v>127</v>
      </c>
      <c r="C5" s="2"/>
      <c r="D5" s="2"/>
      <c r="E5" s="2"/>
      <c r="F5" s="2"/>
      <c r="G5" s="2"/>
      <c r="H5" s="2"/>
      <c r="I5" s="2"/>
    </row>
    <row r="6" ht="27" customHeight="1" spans="1:9">
      <c r="A6" s="19" t="s">
        <v>128</v>
      </c>
      <c r="B6" s="20" t="s">
        <v>129</v>
      </c>
      <c r="C6" s="2"/>
      <c r="D6" s="2"/>
      <c r="E6" s="2"/>
      <c r="F6" s="2"/>
      <c r="G6" s="2"/>
      <c r="H6" s="2"/>
      <c r="I6" s="2"/>
    </row>
    <row r="7" ht="27" customHeight="1" spans="1:9">
      <c r="A7" s="19" t="s">
        <v>130</v>
      </c>
      <c r="B7" s="20" t="s">
        <v>131</v>
      </c>
      <c r="C7" s="2"/>
      <c r="D7" s="2"/>
      <c r="E7" s="2"/>
      <c r="F7" s="2"/>
      <c r="G7" s="2"/>
      <c r="H7" s="2"/>
      <c r="I7" s="2"/>
    </row>
    <row r="8" ht="27" customHeight="1" spans="1:9">
      <c r="A8" s="19" t="s">
        <v>132</v>
      </c>
      <c r="B8" s="20" t="s">
        <v>133</v>
      </c>
      <c r="C8" s="2"/>
      <c r="D8" s="2"/>
      <c r="E8" s="2"/>
      <c r="F8" s="2"/>
      <c r="G8" s="2"/>
      <c r="H8" s="2"/>
      <c r="I8" s="2"/>
    </row>
    <row r="9" ht="27" customHeight="1" spans="1:9">
      <c r="A9" s="19" t="s">
        <v>134</v>
      </c>
      <c r="B9" s="20" t="s">
        <v>135</v>
      </c>
      <c r="C9" s="2"/>
      <c r="D9" s="2"/>
      <c r="E9" s="2"/>
      <c r="F9" s="2"/>
      <c r="G9" s="2"/>
      <c r="H9" s="2"/>
      <c r="I9" s="2"/>
    </row>
    <row r="10" ht="27" customHeight="1" spans="1:9">
      <c r="A10" s="19" t="s">
        <v>136</v>
      </c>
      <c r="B10" s="20" t="s">
        <v>137</v>
      </c>
      <c r="C10" s="2"/>
      <c r="D10" s="2"/>
      <c r="E10" s="2"/>
      <c r="F10" s="2"/>
      <c r="G10" s="2"/>
      <c r="H10" s="2"/>
      <c r="I10" s="2"/>
    </row>
    <row r="11" ht="27" customHeight="1" spans="1:9">
      <c r="C11" s="2"/>
      <c r="D11" s="2"/>
      <c r="E11" s="2"/>
      <c r="F11" s="2"/>
      <c r="G11" s="2"/>
      <c r="H11" s="2"/>
      <c r="I11" s="2"/>
    </row>
    <row r="12" ht="27" customHeight="1" spans="1:9">
      <c r="A12" s="21" t="s">
        <v>138</v>
      </c>
      <c r="B12" s="22" t="s">
        <v>139</v>
      </c>
      <c r="C12" s="2"/>
      <c r="D12" s="2"/>
      <c r="E12" s="2"/>
      <c r="F12" s="2"/>
      <c r="G12" s="2"/>
      <c r="H12" s="2"/>
      <c r="I12" s="2"/>
    </row>
    <row r="13" ht="27" customHeight="1" spans="1:9">
      <c r="C13" s="2"/>
      <c r="D13" s="2"/>
      <c r="E13" s="2"/>
      <c r="F13" s="2"/>
      <c r="G13" s="2"/>
      <c r="H13" s="2"/>
      <c r="I13" s="2"/>
    </row>
    <row r="14" ht="27" customHeight="1" spans="1:9">
      <c r="A14" s="23" t="s">
        <v>140</v>
      </c>
      <c r="B14" s="24" t="s">
        <v>141</v>
      </c>
    </row>
    <row r="15" ht="27" customHeight="1"/>
  </sheetData>
  <mergeCells count="1">
    <mergeCell ref="A1:B1"/>
  </mergeCells>
  <hyperlinks>
    <hyperlink ref="B14" r:id="rId1" display="https://www.nist.gov/cyberframework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showGridLines="0" tabSelected="1" workbookViewId="0">
      <selection activeCell="A1" sqref="A1"/>
    </sheetView>
  </sheetViews>
  <sheetFormatPr defaultColWidth="8.72727272727273" defaultRowHeight="14.5"/>
  <cols>
    <col min="1" max="1" width="14" customWidth="1"/>
    <col min="2" max="2" width="12" customWidth="1"/>
    <col min="3" max="3" width="30" customWidth="1"/>
    <col min="4" max="4" width="25" customWidth="1"/>
    <col min="5" max="7" width="16" customWidth="1"/>
    <col min="8" max="8" width="28" customWidth="1"/>
  </cols>
  <sheetData>
    <row r="1" ht="34" customHeight="1" spans="1:9">
      <c r="A1" s="1" t="s">
        <v>142</v>
      </c>
      <c r="B1" s="1" t="s">
        <v>0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2"/>
    </row>
    <row r="2" ht="25" customHeight="1" spans="1:9">
      <c r="A2" s="3" t="s">
        <v>149</v>
      </c>
      <c r="B2" s="4" t="s">
        <v>13</v>
      </c>
      <c r="C2" s="4" t="s">
        <v>19</v>
      </c>
      <c r="D2" s="4" t="s">
        <v>17</v>
      </c>
      <c r="E2" s="5">
        <v>46273</v>
      </c>
      <c r="F2" s="5"/>
      <c r="G2" s="4" t="s">
        <v>150</v>
      </c>
      <c r="H2" s="6" t="s">
        <v>151</v>
      </c>
      <c r="I2" s="2"/>
    </row>
    <row r="3" ht="25" customHeight="1" spans="1:9">
      <c r="A3" s="7" t="s">
        <v>152</v>
      </c>
      <c r="B3" s="8" t="s">
        <v>22</v>
      </c>
      <c r="C3" s="8" t="s">
        <v>27</v>
      </c>
      <c r="D3" s="8" t="s">
        <v>26</v>
      </c>
      <c r="E3" s="9">
        <v>46273</v>
      </c>
      <c r="F3" s="9"/>
      <c r="G3" s="8" t="s">
        <v>150</v>
      </c>
      <c r="H3" s="10" t="s">
        <v>151</v>
      </c>
      <c r="I3" s="2"/>
    </row>
    <row r="4" ht="25" customHeight="1" spans="1:9">
      <c r="A4" s="7" t="s">
        <v>153</v>
      </c>
      <c r="B4" s="8" t="s">
        <v>29</v>
      </c>
      <c r="C4" s="8" t="s">
        <v>34</v>
      </c>
      <c r="D4" s="8" t="s">
        <v>33</v>
      </c>
      <c r="E4" s="9">
        <v>46273</v>
      </c>
      <c r="F4" s="9"/>
      <c r="G4" s="8" t="s">
        <v>150</v>
      </c>
      <c r="H4" s="10" t="s">
        <v>151</v>
      </c>
      <c r="I4" s="2"/>
    </row>
    <row r="5" ht="25" customHeight="1" spans="1:9">
      <c r="A5" s="7" t="s">
        <v>154</v>
      </c>
      <c r="B5" s="8" t="s">
        <v>36</v>
      </c>
      <c r="C5" s="8" t="s">
        <v>41</v>
      </c>
      <c r="D5" s="8" t="s">
        <v>40</v>
      </c>
      <c r="E5" s="9">
        <v>46273</v>
      </c>
      <c r="F5" s="9"/>
      <c r="G5" s="8" t="s">
        <v>150</v>
      </c>
      <c r="H5" s="10" t="s">
        <v>151</v>
      </c>
      <c r="I5" s="2"/>
    </row>
    <row r="6" ht="25" customHeight="1" spans="1:9">
      <c r="A6" s="7" t="s">
        <v>155</v>
      </c>
      <c r="B6" s="8" t="s">
        <v>43</v>
      </c>
      <c r="C6" s="8" t="s">
        <v>47</v>
      </c>
      <c r="D6" s="8" t="s">
        <v>26</v>
      </c>
      <c r="E6" s="9">
        <v>46273</v>
      </c>
      <c r="F6" s="9"/>
      <c r="G6" s="8" t="s">
        <v>150</v>
      </c>
      <c r="H6" s="10" t="s">
        <v>151</v>
      </c>
      <c r="I6" s="2"/>
    </row>
    <row r="7" ht="25" customHeight="1" spans="1:9">
      <c r="A7" s="7" t="s">
        <v>156</v>
      </c>
      <c r="B7" s="8" t="s">
        <v>48</v>
      </c>
      <c r="C7" s="8" t="s">
        <v>53</v>
      </c>
      <c r="D7" s="8" t="s">
        <v>52</v>
      </c>
      <c r="E7" s="9">
        <v>46273</v>
      </c>
      <c r="F7" s="9"/>
      <c r="G7" s="8" t="s">
        <v>150</v>
      </c>
      <c r="H7" s="10" t="s">
        <v>151</v>
      </c>
    </row>
    <row r="8" ht="25" customHeight="1" spans="1:9">
      <c r="A8" s="7" t="s">
        <v>157</v>
      </c>
      <c r="B8" s="8" t="s">
        <v>55</v>
      </c>
      <c r="C8" s="8" t="s">
        <v>59</v>
      </c>
      <c r="D8" s="8" t="s">
        <v>17</v>
      </c>
      <c r="E8" s="9">
        <v>46273</v>
      </c>
      <c r="F8" s="9"/>
      <c r="G8" s="8" t="s">
        <v>150</v>
      </c>
      <c r="H8" s="10" t="s">
        <v>151</v>
      </c>
    </row>
    <row r="9" ht="25" customHeight="1" spans="1:9">
      <c r="A9" s="7" t="s">
        <v>158</v>
      </c>
      <c r="B9" s="8" t="s">
        <v>61</v>
      </c>
      <c r="C9" s="8" t="s">
        <v>66</v>
      </c>
      <c r="D9" s="8" t="s">
        <v>65</v>
      </c>
      <c r="E9" s="9">
        <v>46273</v>
      </c>
      <c r="F9" s="11"/>
      <c r="G9" s="8" t="s">
        <v>150</v>
      </c>
      <c r="H9" s="10" t="s">
        <v>151</v>
      </c>
    </row>
    <row r="10" ht="25" customHeight="1" spans="1:9">
      <c r="A10" s="7" t="s">
        <v>159</v>
      </c>
      <c r="B10" s="8" t="s">
        <v>67</v>
      </c>
      <c r="C10" s="8" t="s">
        <v>72</v>
      </c>
      <c r="D10" s="8" t="s">
        <v>71</v>
      </c>
      <c r="E10" s="9">
        <v>46273</v>
      </c>
      <c r="F10" s="11"/>
      <c r="G10" s="8" t="s">
        <v>150</v>
      </c>
      <c r="H10" s="10" t="s">
        <v>151</v>
      </c>
    </row>
    <row r="11" ht="25" customHeight="1" spans="1:9">
      <c r="A11" s="7" t="s">
        <v>160</v>
      </c>
      <c r="B11" s="8" t="s">
        <v>74</v>
      </c>
      <c r="C11" s="8" t="s">
        <v>77</v>
      </c>
      <c r="D11" s="8" t="s">
        <v>26</v>
      </c>
      <c r="E11" s="9">
        <v>46273</v>
      </c>
      <c r="F11" s="11"/>
      <c r="G11" s="8" t="s">
        <v>150</v>
      </c>
      <c r="H11" s="10" t="s">
        <v>151</v>
      </c>
    </row>
    <row r="12" ht="25" customHeight="1" spans="1:9">
      <c r="A12" s="7" t="s">
        <v>161</v>
      </c>
      <c r="B12" s="8" t="s">
        <v>78</v>
      </c>
      <c r="C12" s="8" t="s">
        <v>83</v>
      </c>
      <c r="D12" s="8" t="s">
        <v>82</v>
      </c>
      <c r="E12" s="9">
        <v>46273</v>
      </c>
      <c r="F12" s="11"/>
      <c r="G12" s="8" t="s">
        <v>150</v>
      </c>
      <c r="H12" s="10" t="s">
        <v>151</v>
      </c>
    </row>
    <row r="13" ht="25" customHeight="1" spans="1:9">
      <c r="A13" s="12" t="s">
        <v>162</v>
      </c>
      <c r="B13" s="13" t="s">
        <v>85</v>
      </c>
      <c r="C13" s="13" t="s">
        <v>90</v>
      </c>
      <c r="D13" s="13" t="s">
        <v>89</v>
      </c>
      <c r="E13" s="14">
        <v>46273</v>
      </c>
      <c r="F13" s="15"/>
      <c r="G13" s="13" t="s">
        <v>150</v>
      </c>
      <c r="H13" s="16" t="s">
        <v>151</v>
      </c>
    </row>
    <row r="14" spans="1:9">
      <c r="A14" s="2"/>
      <c r="B14" s="2"/>
      <c r="C14" s="2"/>
      <c r="D14" s="2"/>
      <c r="E14" s="2"/>
      <c r="F14" s="2"/>
      <c r="G14" s="2"/>
      <c r="H14" s="2"/>
    </row>
    <row r="15" spans="1:9">
      <c r="A15" s="2"/>
      <c r="B15" s="2"/>
      <c r="C15" s="2"/>
      <c r="D15" s="2"/>
      <c r="E15" s="2"/>
      <c r="F15" s="2"/>
      <c r="G15" s="2"/>
      <c r="H15" s="2"/>
    </row>
    <row r="16" spans="1:9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17"/>
      <c r="G23" s="2"/>
      <c r="H23" s="2"/>
    </row>
    <row r="24" spans="1:8">
      <c r="A24" s="2"/>
      <c r="B24" s="2"/>
      <c r="C24" s="2"/>
      <c r="D24" s="2"/>
      <c r="E24" s="2"/>
      <c r="F24" s="17"/>
      <c r="G24" s="2"/>
      <c r="H24" s="2"/>
    </row>
    <row r="25" spans="1:8">
      <c r="A25" s="2"/>
      <c r="B25" s="2"/>
      <c r="C25" s="2"/>
      <c r="D25" s="2"/>
      <c r="E25" s="2"/>
      <c r="F25" s="17"/>
      <c r="G25" s="2"/>
      <c r="H25" s="2"/>
    </row>
    <row r="26" spans="1:8">
      <c r="A26" s="2"/>
      <c r="B26" s="2"/>
      <c r="C26" s="2"/>
      <c r="D26" s="2"/>
      <c r="E26" s="2"/>
      <c r="F26" s="17"/>
      <c r="G26" s="2"/>
      <c r="H26" s="2"/>
    </row>
    <row r="27" spans="1:8">
      <c r="A27" s="2"/>
      <c r="B27" s="2"/>
      <c r="C27" s="2"/>
      <c r="D27" s="2"/>
      <c r="E27" s="2"/>
      <c r="F27" s="17"/>
      <c r="G27" s="2"/>
      <c r="H27" s="2"/>
    </row>
    <row r="28" spans="1:8">
      <c r="A28" s="2"/>
      <c r="B28" s="2"/>
      <c r="C28" s="2"/>
      <c r="D28" s="2"/>
      <c r="E28" s="2"/>
      <c r="F28" s="17"/>
      <c r="G28" s="2"/>
      <c r="H28" s="2"/>
    </row>
    <row r="29" spans="1:8">
      <c r="A29" s="2"/>
      <c r="B29" s="2"/>
      <c r="C29" s="2"/>
      <c r="D29" s="2"/>
      <c r="E29" s="2"/>
      <c r="F29" s="17"/>
      <c r="G29" s="2"/>
      <c r="H29" s="2"/>
    </row>
    <row r="30" spans="1:8">
      <c r="A30" s="2"/>
      <c r="B30" s="2"/>
      <c r="C30" s="2"/>
      <c r="D30" s="2"/>
      <c r="E30" s="2"/>
      <c r="F30" s="17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</sheetData>
  <conditionalFormatting sqref="G2:G13">
    <cfRule type="containsText" dxfId="4" priority="1" operator="between" text="Pending">
      <formula>NOT(ISERROR(SEARCH("Pending",G2)))</formula>
    </cfRule>
    <cfRule type="containsText" dxfId="5" priority="2" operator="between" text="Approved">
      <formula>NOT(ISERROR(SEARCH("Approved",G2)))</formula>
    </cfRule>
  </conditionalFormatting>
  <dataValidations count="1">
    <dataValidation type="list" sqref="G2:G13">
      <formula1>"Pending,Received,Approved,Rejected"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Risk Register</vt:lpstr>
      <vt:lpstr>Risk Scoring</vt:lpstr>
      <vt:lpstr>Dashboard</vt:lpstr>
      <vt:lpstr>Project Overview</vt:lpstr>
      <vt:lpstr>Evidence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</cp:lastModifiedBy>
  <dcterms:created xsi:type="dcterms:W3CDTF">2026-09-08T17:37:59Z</dcterms:created>
  <dcterms:modified xsi:type="dcterms:W3CDTF">2026-09-08T17:39:47Z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B57C17160226478393BCB30A98005570_13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